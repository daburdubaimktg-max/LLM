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Dashboard" sheetId="2" state="visible" r:id="rId4"/>
  </sheets>
  <definedNames>
    <definedName function="false" hidden="true" localSheetId="0" name="_xlnm._FilterDatabase" vbProcedure="false">Tracker!$A$3:$L$45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<sst xmlns="http://schemas.openxmlformats.org/spreadsheetml/2006/main" count="427" uniqueCount="94">
  <si>
    <t xml:space="preserve">DABUR COUNTRY-ENTRY RESEARCH — SPRINT TRACKER (42 countries × 5 reports)</t>
  </si>
  <si>
    <t xml:space="preserve">Set each report cell to its status via the dropdown. Progress auto-updates. Reports per country: Macro first, then Hair · Oral · OTC Health · Skin.</t>
  </si>
  <si>
    <t xml:space="preserve">Batch</t>
  </si>
  <si>
    <t xml:space="preserve">Region</t>
  </si>
  <si>
    <t xml:space="preserve">Country</t>
  </si>
  <si>
    <t xml:space="preserve">Regional expert</t>
  </si>
  <si>
    <t xml:space="preserve">Owner</t>
  </si>
  <si>
    <t xml:space="preserve">Macro</t>
  </si>
  <si>
    <t xml:space="preserve">Hair</t>
  </si>
  <si>
    <t xml:space="preserve">Oral</t>
  </si>
  <si>
    <t xml:space="preserve">OTC Health</t>
  </si>
  <si>
    <t xml:space="preserve">Skin</t>
  </si>
  <si>
    <t xml:space="preserve">Progress</t>
  </si>
  <si>
    <t xml:space="preserve">Notes</t>
  </si>
  <si>
    <t xml:space="preserve">B1</t>
  </si>
  <si>
    <t xml:space="preserve">SE Asia</t>
  </si>
  <si>
    <t xml:space="preserve">Malaysia</t>
  </si>
  <si>
    <t xml:space="preserve">Gap rule (generic + local-lang)</t>
  </si>
  <si>
    <t xml:space="preserve">Not started</t>
  </si>
  <si>
    <t xml:space="preserve">Thailand</t>
  </si>
  <si>
    <t xml:space="preserve">Indonesia</t>
  </si>
  <si>
    <t xml:space="preserve">Philippines</t>
  </si>
  <si>
    <t xml:space="preserve">B2</t>
  </si>
  <si>
    <t xml:space="preserve">Horn of Africa</t>
  </si>
  <si>
    <t xml:space="preserve">Ethiopia</t>
  </si>
  <si>
    <t xml:space="preserve">Africa insight (+Arabic: Sudan/Somalia)</t>
  </si>
  <si>
    <t xml:space="preserve">Somalia</t>
  </si>
  <si>
    <t xml:space="preserve">Sudan</t>
  </si>
  <si>
    <t xml:space="preserve">B3</t>
  </si>
  <si>
    <t xml:space="preserve">Levant / Iraq</t>
  </si>
  <si>
    <t xml:space="preserve">Iraq</t>
  </si>
  <si>
    <t xml:space="preserve">Arabic + MENA insight</t>
  </si>
  <si>
    <t xml:space="preserve">Jordan</t>
  </si>
  <si>
    <t xml:space="preserve">Lebanon</t>
  </si>
  <si>
    <t xml:space="preserve">Yemen</t>
  </si>
  <si>
    <t xml:space="preserve">B4</t>
  </si>
  <si>
    <t xml:space="preserve">Maghreb</t>
  </si>
  <si>
    <t xml:space="preserve">Morocco</t>
  </si>
  <si>
    <t xml:space="preserve">Arabic + MENA insight (+French)</t>
  </si>
  <si>
    <t xml:space="preserve">Algeria</t>
  </si>
  <si>
    <t xml:space="preserve">Tunisia</t>
  </si>
  <si>
    <t xml:space="preserve">Libya</t>
  </si>
  <si>
    <t xml:space="preserve">B5</t>
  </si>
  <si>
    <t xml:space="preserve">Russia / CIS / Caucasus</t>
  </si>
  <si>
    <t xml:space="preserve">Russia</t>
  </si>
  <si>
    <t xml:space="preserve">Uzbekistan</t>
  </si>
  <si>
    <t xml:space="preserve">Kazakhstan</t>
  </si>
  <si>
    <t xml:space="preserve">Kyrgyzstan</t>
  </si>
  <si>
    <t xml:space="preserve">Azerbaijan</t>
  </si>
  <si>
    <t xml:space="preserve">Armenia</t>
  </si>
  <si>
    <t xml:space="preserve">Georgia</t>
  </si>
  <si>
    <t xml:space="preserve">B6</t>
  </si>
  <si>
    <t xml:space="preserve">SSA - West</t>
  </si>
  <si>
    <t xml:space="preserve">Nigeria</t>
  </si>
  <si>
    <t xml:space="preserve">Africa insight</t>
  </si>
  <si>
    <t xml:space="preserve">Ghana</t>
  </si>
  <si>
    <t xml:space="preserve">Ivory Coast</t>
  </si>
  <si>
    <t xml:space="preserve">B7</t>
  </si>
  <si>
    <t xml:space="preserve">SSA - East</t>
  </si>
  <si>
    <t xml:space="preserve">Kenya</t>
  </si>
  <si>
    <t xml:space="preserve">Uganda</t>
  </si>
  <si>
    <t xml:space="preserve">Tanzania</t>
  </si>
  <si>
    <t xml:space="preserve">Rwanda</t>
  </si>
  <si>
    <t xml:space="preserve">B8</t>
  </si>
  <si>
    <t xml:space="preserve">SSA - Southern</t>
  </si>
  <si>
    <t xml:space="preserve">South Africa</t>
  </si>
  <si>
    <t xml:space="preserve">Mauritius</t>
  </si>
  <si>
    <t xml:space="preserve">Zambia</t>
  </si>
  <si>
    <t xml:space="preserve">Angola</t>
  </si>
  <si>
    <t xml:space="preserve">Mozambique</t>
  </si>
  <si>
    <t xml:space="preserve">Namibia</t>
  </si>
  <si>
    <t xml:space="preserve">Botswana</t>
  </si>
  <si>
    <t xml:space="preserve">B9</t>
  </si>
  <si>
    <t xml:space="preserve">GCC</t>
  </si>
  <si>
    <t xml:space="preserve">Saudi Arabia</t>
  </si>
  <si>
    <t xml:space="preserve">UAE</t>
  </si>
  <si>
    <t xml:space="preserve">Kuwait</t>
  </si>
  <si>
    <t xml:space="preserve">Oman</t>
  </si>
  <si>
    <t xml:space="preserve">Qatar</t>
  </si>
  <si>
    <t xml:space="preserve">Bahrain</t>
  </si>
  <si>
    <t xml:space="preserve">TOTAL</t>
  </si>
  <si>
    <t xml:space="preserve">SPRINT DASHBOARD</t>
  </si>
  <si>
    <t xml:space="preserve">OVERALL</t>
  </si>
  <si>
    <t xml:space="preserve">Countries</t>
  </si>
  <si>
    <t xml:space="preserve">Total reports</t>
  </si>
  <si>
    <t xml:space="preserve">Reports Done</t>
  </si>
  <si>
    <t xml:space="preserve">Reports In progress</t>
  </si>
  <si>
    <t xml:space="preserve">Reports In review</t>
  </si>
  <si>
    <t xml:space="preserve">Reports Blocked</t>
  </si>
  <si>
    <t xml:space="preserve">Reports Not started</t>
  </si>
  <si>
    <t xml:space="preserve">Overall % complete</t>
  </si>
  <si>
    <t xml:space="preserve">BY BATCH</t>
  </si>
  <si>
    <t xml:space="preserve">% complete</t>
  </si>
  <si>
    <t xml:space="preserve">By owner: use the Tracker Owner column + AutoFilter, or add a pivot on {Owner, status}.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</si>
</sst>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5E20"/>
        <bgColor rgb="FF006100"/>
      </patternFill>
    </fill>
    <fill>
      <patternFill patternType="solid">
        <fgColor rgb="FF2D7D32"/>
        <bgColor rgb="FF1B5E20"/>
      </patternFill>
    </fill>
    <fill>
      <patternFill patternType="solid">
        <fgColor rgb="FFE8F1E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D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C65911"/>
        <sz val="10"/>
      </font>
      <fill>
        <patternFill>
          <bgColor rgb="FFFCE4D6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808080"/>
        <sz val="10"/>
      </font>
      <fill>
        <patternFill>
          <bgColor rgb="FFF2F2F2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E8F1E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65911"/>
      <rgbColor rgb="FF777777"/>
      <rgbColor rgb="FF969696"/>
      <rgbColor rgb="FF003366"/>
      <rgbColor rgb="FF2D7D32"/>
      <rgbColor rgb="FF003300"/>
      <rgbColor rgb="FF1B5E2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10" min="6" style="0" width="11"/>
    <col collapsed="false" customWidth="true" hidden="false" outlineLevel="0" max="11" min="11" style="0" width="9"/>
    <col collapsed="false" customWidth="true" hidden="false" outlineLevel="0" max="12" min="12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" hidden="false" customHeight="fals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/>
      <c r="F4" s="5" t="s">
        <v>18</v>
      </c>
      <c r="G4" s="5" t="s">
        <v>18</v>
      </c>
      <c r="H4" s="5" t="s">
        <v>18</v>
      </c>
      <c r="I4" s="5" t="s">
        <v>18</v>
      </c>
      <c r="J4" s="5" t="s">
        <v>18</v>
      </c>
      <c r="K4" s="6" t="n">
        <f aca="false">COUNTIF(F4:J4,"Done")/5</f>
        <v>0</v>
      </c>
      <c r="L4" s="4"/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19</v>
      </c>
      <c r="D5" s="4" t="s">
        <v>17</v>
      </c>
      <c r="E5" s="4"/>
      <c r="F5" s="5" t="s">
        <v>18</v>
      </c>
      <c r="G5" s="5" t="s">
        <v>18</v>
      </c>
      <c r="H5" s="5" t="s">
        <v>18</v>
      </c>
      <c r="I5" s="5" t="s">
        <v>18</v>
      </c>
      <c r="J5" s="5" t="s">
        <v>18</v>
      </c>
      <c r="K5" s="6" t="n">
        <f aca="false">COUNTIF(F5:J5,"Done")/5</f>
        <v>0</v>
      </c>
      <c r="L5" s="4"/>
    </row>
    <row r="6" customFormat="false" ht="15" hidden="false" customHeight="false" outlineLevel="0" collapsed="false">
      <c r="A6" s="4" t="s">
        <v>14</v>
      </c>
      <c r="B6" s="4" t="s">
        <v>15</v>
      </c>
      <c r="C6" s="4" t="s">
        <v>20</v>
      </c>
      <c r="D6" s="4" t="s">
        <v>17</v>
      </c>
      <c r="E6" s="4"/>
      <c r="F6" s="5" t="s">
        <v>18</v>
      </c>
      <c r="G6" s="5" t="s">
        <v>18</v>
      </c>
      <c r="H6" s="5" t="s">
        <v>18</v>
      </c>
      <c r="I6" s="5" t="s">
        <v>18</v>
      </c>
      <c r="J6" s="5" t="s">
        <v>18</v>
      </c>
      <c r="K6" s="6" t="n">
        <f aca="false">COUNTIF(F6:J6,"Done")/5</f>
        <v>0</v>
      </c>
      <c r="L6" s="4"/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21</v>
      </c>
      <c r="D7" s="4" t="s">
        <v>17</v>
      </c>
      <c r="E7" s="4"/>
      <c r="F7" s="5" t="s">
        <v>18</v>
      </c>
      <c r="G7" s="5" t="s">
        <v>18</v>
      </c>
      <c r="H7" s="5" t="s">
        <v>18</v>
      </c>
      <c r="I7" s="5" t="s">
        <v>18</v>
      </c>
      <c r="J7" s="5" t="s">
        <v>18</v>
      </c>
      <c r="K7" s="6" t="n">
        <f aca="false">COUNTIF(F7:J7,"Done")/5</f>
        <v>0</v>
      </c>
      <c r="L7" s="4"/>
    </row>
    <row r="8" customFormat="false" ht="15" hidden="false" customHeight="false" outlineLevel="0" collapsed="false">
      <c r="A8" s="4" t="s">
        <v>22</v>
      </c>
      <c r="B8" s="4" t="s">
        <v>23</v>
      </c>
      <c r="C8" s="4" t="s">
        <v>24</v>
      </c>
      <c r="D8" s="4" t="s">
        <v>25</v>
      </c>
      <c r="E8" s="4"/>
      <c r="F8" s="5" t="s">
        <v>18</v>
      </c>
      <c r="G8" s="5" t="s">
        <v>18</v>
      </c>
      <c r="H8" s="5" t="s">
        <v>18</v>
      </c>
      <c r="I8" s="5" t="s">
        <v>18</v>
      </c>
      <c r="J8" s="5" t="s">
        <v>18</v>
      </c>
      <c r="K8" s="6" t="n">
        <f aca="false">COUNTIF(F8:J8,"Done")/5</f>
        <v>0</v>
      </c>
      <c r="L8" s="4"/>
    </row>
    <row r="9" customFormat="false" ht="15" hidden="false" customHeight="false" outlineLevel="0" collapsed="false">
      <c r="A9" s="4" t="s">
        <v>22</v>
      </c>
      <c r="B9" s="4" t="s">
        <v>23</v>
      </c>
      <c r="C9" s="4" t="s">
        <v>26</v>
      </c>
      <c r="D9" s="4" t="s">
        <v>25</v>
      </c>
      <c r="E9" s="4"/>
      <c r="F9" s="5" t="s">
        <v>18</v>
      </c>
      <c r="G9" s="5" t="s">
        <v>18</v>
      </c>
      <c r="H9" s="5" t="s">
        <v>18</v>
      </c>
      <c r="I9" s="5" t="s">
        <v>18</v>
      </c>
      <c r="J9" s="5" t="s">
        <v>18</v>
      </c>
      <c r="K9" s="6" t="n">
        <f aca="false">COUNTIF(F9:J9,"Done")/5</f>
        <v>0</v>
      </c>
      <c r="L9" s="4"/>
    </row>
    <row r="10" customFormat="false" ht="15" hidden="false" customHeight="false" outlineLevel="0" collapsed="false">
      <c r="A10" s="4" t="s">
        <v>22</v>
      </c>
      <c r="B10" s="4" t="s">
        <v>23</v>
      </c>
      <c r="C10" s="4" t="s">
        <v>27</v>
      </c>
      <c r="D10" s="4" t="s">
        <v>25</v>
      </c>
      <c r="E10" s="4"/>
      <c r="F10" s="5" t="s">
        <v>18</v>
      </c>
      <c r="G10" s="5" t="s">
        <v>18</v>
      </c>
      <c r="H10" s="5" t="s">
        <v>18</v>
      </c>
      <c r="I10" s="5" t="s">
        <v>18</v>
      </c>
      <c r="J10" s="5" t="s">
        <v>18</v>
      </c>
      <c r="K10" s="6" t="n">
        <f aca="false">COUNTIF(F10:J10,"Done")/5</f>
        <v>0</v>
      </c>
      <c r="L10" s="4"/>
    </row>
    <row r="11" customFormat="false" ht="15" hidden="false" customHeight="false" outlineLevel="0" collapsed="false">
      <c r="A11" s="4" t="s">
        <v>28</v>
      </c>
      <c r="B11" s="4" t="s">
        <v>29</v>
      </c>
      <c r="C11" s="4" t="s">
        <v>30</v>
      </c>
      <c r="D11" s="4" t="s">
        <v>31</v>
      </c>
      <c r="E11" s="4"/>
      <c r="F11" s="5" t="s">
        <v>18</v>
      </c>
      <c r="G11" s="5" t="s">
        <v>18</v>
      </c>
      <c r="H11" s="5" t="s">
        <v>18</v>
      </c>
      <c r="I11" s="5" t="s">
        <v>18</v>
      </c>
      <c r="J11" s="5" t="s">
        <v>18</v>
      </c>
      <c r="K11" s="6" t="n">
        <f aca="false">COUNTIF(F11:J11,"Done")/5</f>
        <v>0</v>
      </c>
      <c r="L11" s="4"/>
    </row>
    <row r="12" customFormat="false" ht="15" hidden="false" customHeight="false" outlineLevel="0" collapsed="false">
      <c r="A12" s="4" t="s">
        <v>28</v>
      </c>
      <c r="B12" s="4" t="s">
        <v>29</v>
      </c>
      <c r="C12" s="4" t="s">
        <v>32</v>
      </c>
      <c r="D12" s="4" t="s">
        <v>31</v>
      </c>
      <c r="E12" s="4"/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6" t="n">
        <f aca="false">COUNTIF(F12:J12,"Done")/5</f>
        <v>0</v>
      </c>
      <c r="L12" s="4"/>
    </row>
    <row r="13" customFormat="false" ht="15" hidden="false" customHeight="false" outlineLevel="0" collapsed="false">
      <c r="A13" s="4" t="s">
        <v>28</v>
      </c>
      <c r="B13" s="4" t="s">
        <v>29</v>
      </c>
      <c r="C13" s="4" t="s">
        <v>33</v>
      </c>
      <c r="D13" s="4" t="s">
        <v>31</v>
      </c>
      <c r="E13" s="4"/>
      <c r="F13" s="5" t="s">
        <v>18</v>
      </c>
      <c r="G13" s="5" t="s">
        <v>18</v>
      </c>
      <c r="H13" s="5" t="s">
        <v>18</v>
      </c>
      <c r="I13" s="5" t="s">
        <v>18</v>
      </c>
      <c r="J13" s="5" t="s">
        <v>18</v>
      </c>
      <c r="K13" s="6" t="n">
        <f aca="false">COUNTIF(F13:J13,"Done")/5</f>
        <v>0</v>
      </c>
      <c r="L13" s="4"/>
    </row>
    <row r="14" customFormat="false" ht="15" hidden="false" customHeight="false" outlineLevel="0" collapsed="false">
      <c r="A14" s="4" t="s">
        <v>28</v>
      </c>
      <c r="B14" s="4" t="s">
        <v>29</v>
      </c>
      <c r="C14" s="4" t="s">
        <v>34</v>
      </c>
      <c r="D14" s="4" t="s">
        <v>31</v>
      </c>
      <c r="E14" s="4"/>
      <c r="F14" s="5" t="s">
        <v>18</v>
      </c>
      <c r="G14" s="5" t="s">
        <v>18</v>
      </c>
      <c r="H14" s="5" t="s">
        <v>18</v>
      </c>
      <c r="I14" s="5" t="s">
        <v>18</v>
      </c>
      <c r="J14" s="5" t="s">
        <v>18</v>
      </c>
      <c r="K14" s="6" t="n">
        <f aca="false">COUNTIF(F14:J14,"Done")/5</f>
        <v>0</v>
      </c>
      <c r="L14" s="4"/>
    </row>
    <row r="15" customFormat="false" ht="15" hidden="false" customHeight="false" outlineLevel="0" collapsed="false">
      <c r="A15" s="4" t="s">
        <v>35</v>
      </c>
      <c r="B15" s="4" t="s">
        <v>36</v>
      </c>
      <c r="C15" s="4" t="s">
        <v>37</v>
      </c>
      <c r="D15" s="4" t="s">
        <v>38</v>
      </c>
      <c r="E15" s="4"/>
      <c r="F15" s="5" t="s">
        <v>18</v>
      </c>
      <c r="G15" s="5" t="s">
        <v>18</v>
      </c>
      <c r="H15" s="5" t="s">
        <v>18</v>
      </c>
      <c r="I15" s="5" t="s">
        <v>18</v>
      </c>
      <c r="J15" s="5" t="s">
        <v>18</v>
      </c>
      <c r="K15" s="6" t="n">
        <f aca="false">COUNTIF(F15:J15,"Done")/5</f>
        <v>0</v>
      </c>
      <c r="L15" s="4"/>
    </row>
    <row r="16" customFormat="false" ht="15" hidden="false" customHeight="false" outlineLevel="0" collapsed="false">
      <c r="A16" s="4" t="s">
        <v>35</v>
      </c>
      <c r="B16" s="4" t="s">
        <v>36</v>
      </c>
      <c r="C16" s="4" t="s">
        <v>39</v>
      </c>
      <c r="D16" s="4" t="s">
        <v>38</v>
      </c>
      <c r="E16" s="4"/>
      <c r="F16" s="5" t="s">
        <v>18</v>
      </c>
      <c r="G16" s="5" t="s">
        <v>18</v>
      </c>
      <c r="H16" s="5" t="s">
        <v>18</v>
      </c>
      <c r="I16" s="5" t="s">
        <v>18</v>
      </c>
      <c r="J16" s="5" t="s">
        <v>18</v>
      </c>
      <c r="K16" s="6" t="n">
        <f aca="false">COUNTIF(F16:J16,"Done")/5</f>
        <v>0</v>
      </c>
      <c r="L16" s="4"/>
    </row>
    <row r="17" customFormat="false" ht="15" hidden="false" customHeight="false" outlineLevel="0" collapsed="false">
      <c r="A17" s="4" t="s">
        <v>35</v>
      </c>
      <c r="B17" s="4" t="s">
        <v>36</v>
      </c>
      <c r="C17" s="4" t="s">
        <v>40</v>
      </c>
      <c r="D17" s="4" t="s">
        <v>38</v>
      </c>
      <c r="E17" s="4"/>
      <c r="F17" s="5" t="s">
        <v>18</v>
      </c>
      <c r="G17" s="5" t="s">
        <v>18</v>
      </c>
      <c r="H17" s="5" t="s">
        <v>18</v>
      </c>
      <c r="I17" s="5" t="s">
        <v>18</v>
      </c>
      <c r="J17" s="5" t="s">
        <v>18</v>
      </c>
      <c r="K17" s="6" t="n">
        <f aca="false">COUNTIF(F17:J17,"Done")/5</f>
        <v>0</v>
      </c>
      <c r="L17" s="4"/>
    </row>
    <row r="18" customFormat="false" ht="15" hidden="false" customHeight="false" outlineLevel="0" collapsed="false">
      <c r="A18" s="4" t="s">
        <v>35</v>
      </c>
      <c r="B18" s="4" t="s">
        <v>36</v>
      </c>
      <c r="C18" s="4" t="s">
        <v>41</v>
      </c>
      <c r="D18" s="4" t="s">
        <v>38</v>
      </c>
      <c r="E18" s="4"/>
      <c r="F18" s="5" t="s">
        <v>18</v>
      </c>
      <c r="G18" s="5" t="s">
        <v>18</v>
      </c>
      <c r="H18" s="5" t="s">
        <v>18</v>
      </c>
      <c r="I18" s="5" t="s">
        <v>18</v>
      </c>
      <c r="J18" s="5" t="s">
        <v>18</v>
      </c>
      <c r="K18" s="6" t="n">
        <f aca="false">COUNTIF(F18:J18,"Done")/5</f>
        <v>0</v>
      </c>
      <c r="L18" s="4"/>
    </row>
    <row r="19" customFormat="false" ht="15" hidden="false" customHeight="false" outlineLevel="0" collapsed="false">
      <c r="A19" s="4" t="s">
        <v>42</v>
      </c>
      <c r="B19" s="4" t="s">
        <v>43</v>
      </c>
      <c r="C19" s="4" t="s">
        <v>44</v>
      </c>
      <c r="D19" s="4" t="s">
        <v>17</v>
      </c>
      <c r="E19" s="4"/>
      <c r="F19" s="5" t="s">
        <v>18</v>
      </c>
      <c r="G19" s="5" t="s">
        <v>18</v>
      </c>
      <c r="H19" s="5" t="s">
        <v>18</v>
      </c>
      <c r="I19" s="5" t="s">
        <v>18</v>
      </c>
      <c r="J19" s="5" t="s">
        <v>18</v>
      </c>
      <c r="K19" s="6" t="n">
        <f aca="false">COUNTIF(F19:J19,"Done")/5</f>
        <v>0</v>
      </c>
      <c r="L19" s="4"/>
    </row>
    <row r="20" customFormat="false" ht="15" hidden="false" customHeight="false" outlineLevel="0" collapsed="false">
      <c r="A20" s="4" t="s">
        <v>42</v>
      </c>
      <c r="B20" s="4" t="s">
        <v>43</v>
      </c>
      <c r="C20" s="4" t="s">
        <v>45</v>
      </c>
      <c r="D20" s="4" t="s">
        <v>17</v>
      </c>
      <c r="E20" s="4"/>
      <c r="F20" s="5" t="s">
        <v>18</v>
      </c>
      <c r="G20" s="5" t="s">
        <v>18</v>
      </c>
      <c r="H20" s="5" t="s">
        <v>18</v>
      </c>
      <c r="I20" s="5" t="s">
        <v>18</v>
      </c>
      <c r="J20" s="5" t="s">
        <v>18</v>
      </c>
      <c r="K20" s="6" t="n">
        <f aca="false">COUNTIF(F20:J20,"Done")/5</f>
        <v>0</v>
      </c>
      <c r="L20" s="4"/>
    </row>
    <row r="21" customFormat="false" ht="15" hidden="false" customHeight="false" outlineLevel="0" collapsed="false">
      <c r="A21" s="4" t="s">
        <v>42</v>
      </c>
      <c r="B21" s="4" t="s">
        <v>43</v>
      </c>
      <c r="C21" s="4" t="s">
        <v>46</v>
      </c>
      <c r="D21" s="4" t="s">
        <v>17</v>
      </c>
      <c r="E21" s="4"/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6" t="n">
        <f aca="false">COUNTIF(F21:J21,"Done")/5</f>
        <v>0</v>
      </c>
      <c r="L21" s="4"/>
    </row>
    <row r="22" customFormat="false" ht="15" hidden="false" customHeight="false" outlineLevel="0" collapsed="false">
      <c r="A22" s="4" t="s">
        <v>42</v>
      </c>
      <c r="B22" s="4" t="s">
        <v>43</v>
      </c>
      <c r="C22" s="4" t="s">
        <v>47</v>
      </c>
      <c r="D22" s="4" t="s">
        <v>17</v>
      </c>
      <c r="E22" s="4"/>
      <c r="F22" s="5" t="s">
        <v>18</v>
      </c>
      <c r="G22" s="5" t="s">
        <v>18</v>
      </c>
      <c r="H22" s="5" t="s">
        <v>18</v>
      </c>
      <c r="I22" s="5" t="s">
        <v>18</v>
      </c>
      <c r="J22" s="5" t="s">
        <v>18</v>
      </c>
      <c r="K22" s="6" t="n">
        <f aca="false">COUNTIF(F22:J22,"Done")/5</f>
        <v>0</v>
      </c>
      <c r="L22" s="4"/>
    </row>
    <row r="23" customFormat="false" ht="15" hidden="false" customHeight="false" outlineLevel="0" collapsed="false">
      <c r="A23" s="4" t="s">
        <v>42</v>
      </c>
      <c r="B23" s="4" t="s">
        <v>43</v>
      </c>
      <c r="C23" s="4" t="s">
        <v>48</v>
      </c>
      <c r="D23" s="4" t="s">
        <v>17</v>
      </c>
      <c r="E23" s="4"/>
      <c r="F23" s="5" t="s">
        <v>18</v>
      </c>
      <c r="G23" s="5" t="s">
        <v>18</v>
      </c>
      <c r="H23" s="5" t="s">
        <v>18</v>
      </c>
      <c r="I23" s="5" t="s">
        <v>18</v>
      </c>
      <c r="J23" s="5" t="s">
        <v>18</v>
      </c>
      <c r="K23" s="6" t="n">
        <f aca="false">COUNTIF(F23:J23,"Done")/5</f>
        <v>0</v>
      </c>
      <c r="L23" s="4"/>
    </row>
    <row r="24" customFormat="false" ht="15" hidden="false" customHeight="false" outlineLevel="0" collapsed="false">
      <c r="A24" s="4" t="s">
        <v>42</v>
      </c>
      <c r="B24" s="4" t="s">
        <v>43</v>
      </c>
      <c r="C24" s="4" t="s">
        <v>49</v>
      </c>
      <c r="D24" s="4" t="s">
        <v>17</v>
      </c>
      <c r="E24" s="4"/>
      <c r="F24" s="5" t="s">
        <v>18</v>
      </c>
      <c r="G24" s="5" t="s">
        <v>18</v>
      </c>
      <c r="H24" s="5" t="s">
        <v>18</v>
      </c>
      <c r="I24" s="5" t="s">
        <v>18</v>
      </c>
      <c r="J24" s="5" t="s">
        <v>18</v>
      </c>
      <c r="K24" s="6" t="n">
        <f aca="false">COUNTIF(F24:J24,"Done")/5</f>
        <v>0</v>
      </c>
      <c r="L24" s="4"/>
    </row>
    <row r="25" customFormat="false" ht="15" hidden="false" customHeight="false" outlineLevel="0" collapsed="false">
      <c r="A25" s="4" t="s">
        <v>42</v>
      </c>
      <c r="B25" s="4" t="s">
        <v>43</v>
      </c>
      <c r="C25" s="4" t="s">
        <v>50</v>
      </c>
      <c r="D25" s="4" t="s">
        <v>17</v>
      </c>
      <c r="E25" s="4"/>
      <c r="F25" s="5" t="s">
        <v>18</v>
      </c>
      <c r="G25" s="5" t="s">
        <v>18</v>
      </c>
      <c r="H25" s="5" t="s">
        <v>18</v>
      </c>
      <c r="I25" s="5" t="s">
        <v>18</v>
      </c>
      <c r="J25" s="5" t="s">
        <v>18</v>
      </c>
      <c r="K25" s="6" t="n">
        <f aca="false">COUNTIF(F25:J25,"Done")/5</f>
        <v>0</v>
      </c>
      <c r="L25" s="4"/>
    </row>
    <row r="26" customFormat="false" ht="15" hidden="false" customHeight="false" outlineLevel="0" collapsed="false">
      <c r="A26" s="4" t="s">
        <v>51</v>
      </c>
      <c r="B26" s="4" t="s">
        <v>52</v>
      </c>
      <c r="C26" s="4" t="s">
        <v>53</v>
      </c>
      <c r="D26" s="4" t="s">
        <v>54</v>
      </c>
      <c r="E26" s="4"/>
      <c r="F26" s="5" t="s">
        <v>18</v>
      </c>
      <c r="G26" s="5" t="s">
        <v>18</v>
      </c>
      <c r="H26" s="5" t="s">
        <v>18</v>
      </c>
      <c r="I26" s="5" t="s">
        <v>18</v>
      </c>
      <c r="J26" s="5" t="s">
        <v>18</v>
      </c>
      <c r="K26" s="6" t="n">
        <f aca="false">COUNTIF(F26:J26,"Done")/5</f>
        <v>0</v>
      </c>
      <c r="L26" s="4"/>
    </row>
    <row r="27" customFormat="false" ht="15" hidden="false" customHeight="false" outlineLevel="0" collapsed="false">
      <c r="A27" s="4" t="s">
        <v>51</v>
      </c>
      <c r="B27" s="4" t="s">
        <v>52</v>
      </c>
      <c r="C27" s="4" t="s">
        <v>55</v>
      </c>
      <c r="D27" s="4" t="s">
        <v>54</v>
      </c>
      <c r="E27" s="4"/>
      <c r="F27" s="5" t="s">
        <v>18</v>
      </c>
      <c r="G27" s="5" t="s">
        <v>18</v>
      </c>
      <c r="H27" s="5" t="s">
        <v>18</v>
      </c>
      <c r="I27" s="5" t="s">
        <v>18</v>
      </c>
      <c r="J27" s="5" t="s">
        <v>18</v>
      </c>
      <c r="K27" s="6" t="n">
        <f aca="false">COUNTIF(F27:J27,"Done")/5</f>
        <v>0</v>
      </c>
      <c r="L27" s="4"/>
    </row>
    <row r="28" customFormat="false" ht="15" hidden="false" customHeight="false" outlineLevel="0" collapsed="false">
      <c r="A28" s="4" t="s">
        <v>51</v>
      </c>
      <c r="B28" s="4" t="s">
        <v>52</v>
      </c>
      <c r="C28" s="4" t="s">
        <v>56</v>
      </c>
      <c r="D28" s="4" t="s">
        <v>54</v>
      </c>
      <c r="E28" s="4"/>
      <c r="F28" s="5" t="s">
        <v>18</v>
      </c>
      <c r="G28" s="5" t="s">
        <v>18</v>
      </c>
      <c r="H28" s="5" t="s">
        <v>18</v>
      </c>
      <c r="I28" s="5" t="s">
        <v>18</v>
      </c>
      <c r="J28" s="5" t="s">
        <v>18</v>
      </c>
      <c r="K28" s="6" t="n">
        <f aca="false">COUNTIF(F28:J28,"Done")/5</f>
        <v>0</v>
      </c>
      <c r="L28" s="4"/>
    </row>
    <row r="29" customFormat="false" ht="15" hidden="false" customHeight="false" outlineLevel="0" collapsed="false">
      <c r="A29" s="4" t="s">
        <v>57</v>
      </c>
      <c r="B29" s="4" t="s">
        <v>58</v>
      </c>
      <c r="C29" s="4" t="s">
        <v>59</v>
      </c>
      <c r="D29" s="4" t="s">
        <v>54</v>
      </c>
      <c r="E29" s="4"/>
      <c r="F29" s="5" t="s">
        <v>18</v>
      </c>
      <c r="G29" s="5" t="s">
        <v>18</v>
      </c>
      <c r="H29" s="5" t="s">
        <v>18</v>
      </c>
      <c r="I29" s="5" t="s">
        <v>18</v>
      </c>
      <c r="J29" s="5" t="s">
        <v>18</v>
      </c>
      <c r="K29" s="6" t="n">
        <f aca="false">COUNTIF(F29:J29,"Done")/5</f>
        <v>0</v>
      </c>
      <c r="L29" s="4"/>
    </row>
    <row r="30" customFormat="false" ht="15" hidden="false" customHeight="false" outlineLevel="0" collapsed="false">
      <c r="A30" s="4" t="s">
        <v>57</v>
      </c>
      <c r="B30" s="4" t="s">
        <v>58</v>
      </c>
      <c r="C30" s="4" t="s">
        <v>60</v>
      </c>
      <c r="D30" s="4" t="s">
        <v>54</v>
      </c>
      <c r="E30" s="4"/>
      <c r="F30" s="5" t="s">
        <v>18</v>
      </c>
      <c r="G30" s="5" t="s">
        <v>18</v>
      </c>
      <c r="H30" s="5" t="s">
        <v>18</v>
      </c>
      <c r="I30" s="5" t="s">
        <v>18</v>
      </c>
      <c r="J30" s="5" t="s">
        <v>18</v>
      </c>
      <c r="K30" s="6" t="n">
        <f aca="false">COUNTIF(F30:J30,"Done")/5</f>
        <v>0</v>
      </c>
      <c r="L30" s="4"/>
    </row>
    <row r="31" customFormat="false" ht="15" hidden="false" customHeight="false" outlineLevel="0" collapsed="false">
      <c r="A31" s="4" t="s">
        <v>57</v>
      </c>
      <c r="B31" s="4" t="s">
        <v>58</v>
      </c>
      <c r="C31" s="4" t="s">
        <v>61</v>
      </c>
      <c r="D31" s="4" t="s">
        <v>54</v>
      </c>
      <c r="E31" s="4"/>
      <c r="F31" s="5" t="s">
        <v>18</v>
      </c>
      <c r="G31" s="5" t="s">
        <v>18</v>
      </c>
      <c r="H31" s="5" t="s">
        <v>18</v>
      </c>
      <c r="I31" s="5" t="s">
        <v>18</v>
      </c>
      <c r="J31" s="5" t="s">
        <v>18</v>
      </c>
      <c r="K31" s="6" t="n">
        <f aca="false">COUNTIF(F31:J31,"Done")/5</f>
        <v>0</v>
      </c>
      <c r="L31" s="4"/>
    </row>
    <row r="32" customFormat="false" ht="15" hidden="false" customHeight="false" outlineLevel="0" collapsed="false">
      <c r="A32" s="4" t="s">
        <v>57</v>
      </c>
      <c r="B32" s="4" t="s">
        <v>58</v>
      </c>
      <c r="C32" s="4" t="s">
        <v>62</v>
      </c>
      <c r="D32" s="4" t="s">
        <v>54</v>
      </c>
      <c r="E32" s="4"/>
      <c r="F32" s="5" t="s">
        <v>18</v>
      </c>
      <c r="G32" s="5" t="s">
        <v>18</v>
      </c>
      <c r="H32" s="5" t="s">
        <v>18</v>
      </c>
      <c r="I32" s="5" t="s">
        <v>18</v>
      </c>
      <c r="J32" s="5" t="s">
        <v>18</v>
      </c>
      <c r="K32" s="6" t="n">
        <f aca="false">COUNTIF(F32:J32,"Done")/5</f>
        <v>0</v>
      </c>
      <c r="L32" s="4"/>
    </row>
    <row r="33" customFormat="false" ht="15" hidden="false" customHeight="false" outlineLevel="0" collapsed="false">
      <c r="A33" s="4" t="s">
        <v>63</v>
      </c>
      <c r="B33" s="4" t="s">
        <v>64</v>
      </c>
      <c r="C33" s="4" t="s">
        <v>65</v>
      </c>
      <c r="D33" s="4" t="s">
        <v>54</v>
      </c>
      <c r="E33" s="4"/>
      <c r="F33" s="5" t="s">
        <v>18</v>
      </c>
      <c r="G33" s="5" t="s">
        <v>18</v>
      </c>
      <c r="H33" s="5" t="s">
        <v>18</v>
      </c>
      <c r="I33" s="5" t="s">
        <v>18</v>
      </c>
      <c r="J33" s="5" t="s">
        <v>18</v>
      </c>
      <c r="K33" s="6" t="n">
        <f aca="false">COUNTIF(F33:J33,"Done")/5</f>
        <v>0</v>
      </c>
      <c r="L33" s="4"/>
    </row>
    <row r="34" customFormat="false" ht="15" hidden="false" customHeight="false" outlineLevel="0" collapsed="false">
      <c r="A34" s="4" t="s">
        <v>63</v>
      </c>
      <c r="B34" s="4" t="s">
        <v>64</v>
      </c>
      <c r="C34" s="4" t="s">
        <v>66</v>
      </c>
      <c r="D34" s="4" t="s">
        <v>54</v>
      </c>
      <c r="E34" s="4"/>
      <c r="F34" s="5" t="s">
        <v>18</v>
      </c>
      <c r="G34" s="5" t="s">
        <v>18</v>
      </c>
      <c r="H34" s="5" t="s">
        <v>18</v>
      </c>
      <c r="I34" s="5" t="s">
        <v>18</v>
      </c>
      <c r="J34" s="5" t="s">
        <v>18</v>
      </c>
      <c r="K34" s="6" t="n">
        <f aca="false">COUNTIF(F34:J34,"Done")/5</f>
        <v>0</v>
      </c>
      <c r="L34" s="4"/>
    </row>
    <row r="35" customFormat="false" ht="15" hidden="false" customHeight="false" outlineLevel="0" collapsed="false">
      <c r="A35" s="4" t="s">
        <v>63</v>
      </c>
      <c r="B35" s="4" t="s">
        <v>64</v>
      </c>
      <c r="C35" s="4" t="s">
        <v>67</v>
      </c>
      <c r="D35" s="4" t="s">
        <v>54</v>
      </c>
      <c r="E35" s="4"/>
      <c r="F35" s="5" t="s">
        <v>18</v>
      </c>
      <c r="G35" s="5" t="s">
        <v>18</v>
      </c>
      <c r="H35" s="5" t="s">
        <v>18</v>
      </c>
      <c r="I35" s="5" t="s">
        <v>18</v>
      </c>
      <c r="J35" s="5" t="s">
        <v>18</v>
      </c>
      <c r="K35" s="6" t="n">
        <f aca="false">COUNTIF(F35:J35,"Done")/5</f>
        <v>0</v>
      </c>
      <c r="L35" s="4"/>
    </row>
    <row r="36" customFormat="false" ht="15" hidden="false" customHeight="false" outlineLevel="0" collapsed="false">
      <c r="A36" s="4" t="s">
        <v>63</v>
      </c>
      <c r="B36" s="4" t="s">
        <v>64</v>
      </c>
      <c r="C36" s="4" t="s">
        <v>68</v>
      </c>
      <c r="D36" s="4" t="s">
        <v>54</v>
      </c>
      <c r="E36" s="4"/>
      <c r="F36" s="5" t="s">
        <v>18</v>
      </c>
      <c r="G36" s="5" t="s">
        <v>18</v>
      </c>
      <c r="H36" s="5" t="s">
        <v>18</v>
      </c>
      <c r="I36" s="5" t="s">
        <v>18</v>
      </c>
      <c r="J36" s="5" t="s">
        <v>18</v>
      </c>
      <c r="K36" s="6" t="n">
        <f aca="false">COUNTIF(F36:J36,"Done")/5</f>
        <v>0</v>
      </c>
      <c r="L36" s="4"/>
    </row>
    <row r="37" customFormat="false" ht="15" hidden="false" customHeight="false" outlineLevel="0" collapsed="false">
      <c r="A37" s="4" t="s">
        <v>63</v>
      </c>
      <c r="B37" s="4" t="s">
        <v>64</v>
      </c>
      <c r="C37" s="4" t="s">
        <v>69</v>
      </c>
      <c r="D37" s="4" t="s">
        <v>54</v>
      </c>
      <c r="E37" s="4"/>
      <c r="F37" s="5" t="s">
        <v>18</v>
      </c>
      <c r="G37" s="5" t="s">
        <v>18</v>
      </c>
      <c r="H37" s="5" t="s">
        <v>18</v>
      </c>
      <c r="I37" s="5" t="s">
        <v>18</v>
      </c>
      <c r="J37" s="5" t="s">
        <v>18</v>
      </c>
      <c r="K37" s="6" t="n">
        <f aca="false">COUNTIF(F37:J37,"Done")/5</f>
        <v>0</v>
      </c>
      <c r="L37" s="4"/>
    </row>
    <row r="38" customFormat="false" ht="15" hidden="false" customHeight="false" outlineLevel="0" collapsed="false">
      <c r="A38" s="4" t="s">
        <v>63</v>
      </c>
      <c r="B38" s="4" t="s">
        <v>64</v>
      </c>
      <c r="C38" s="4" t="s">
        <v>70</v>
      </c>
      <c r="D38" s="4" t="s">
        <v>54</v>
      </c>
      <c r="E38" s="4"/>
      <c r="F38" s="5" t="s">
        <v>18</v>
      </c>
      <c r="G38" s="5" t="s">
        <v>18</v>
      </c>
      <c r="H38" s="5" t="s">
        <v>18</v>
      </c>
      <c r="I38" s="5" t="s">
        <v>18</v>
      </c>
      <c r="J38" s="5" t="s">
        <v>18</v>
      </c>
      <c r="K38" s="6" t="n">
        <f aca="false">COUNTIF(F38:J38,"Done")/5</f>
        <v>0</v>
      </c>
      <c r="L38" s="4"/>
    </row>
    <row r="39" customFormat="false" ht="15" hidden="false" customHeight="false" outlineLevel="0" collapsed="false">
      <c r="A39" s="4" t="s">
        <v>63</v>
      </c>
      <c r="B39" s="4" t="s">
        <v>64</v>
      </c>
      <c r="C39" s="4" t="s">
        <v>71</v>
      </c>
      <c r="D39" s="4" t="s">
        <v>54</v>
      </c>
      <c r="E39" s="4"/>
      <c r="F39" s="5" t="s">
        <v>18</v>
      </c>
      <c r="G39" s="5" t="s">
        <v>18</v>
      </c>
      <c r="H39" s="5" t="s">
        <v>18</v>
      </c>
      <c r="I39" s="5" t="s">
        <v>18</v>
      </c>
      <c r="J39" s="5" t="s">
        <v>18</v>
      </c>
      <c r="K39" s="6" t="n">
        <f aca="false">COUNTIF(F39:J39,"Done")/5</f>
        <v>0</v>
      </c>
      <c r="L39" s="4"/>
    </row>
    <row r="40" customFormat="false" ht="15" hidden="false" customHeight="false" outlineLevel="0" collapsed="false">
      <c r="A40" s="4" t="s">
        <v>72</v>
      </c>
      <c r="B40" s="4" t="s">
        <v>73</v>
      </c>
      <c r="C40" s="4" t="s">
        <v>74</v>
      </c>
      <c r="D40" s="4" t="s">
        <v>31</v>
      </c>
      <c r="E40" s="4"/>
      <c r="F40" s="5" t="s">
        <v>18</v>
      </c>
      <c r="G40" s="5" t="s">
        <v>18</v>
      </c>
      <c r="H40" s="5" t="s">
        <v>18</v>
      </c>
      <c r="I40" s="5" t="s">
        <v>18</v>
      </c>
      <c r="J40" s="5" t="s">
        <v>18</v>
      </c>
      <c r="K40" s="6" t="n">
        <f aca="false">COUNTIF(F40:J40,"Done")/5</f>
        <v>0</v>
      </c>
      <c r="L40" s="4"/>
    </row>
    <row r="41" customFormat="false" ht="15" hidden="false" customHeight="false" outlineLevel="0" collapsed="false">
      <c r="A41" s="4" t="s">
        <v>72</v>
      </c>
      <c r="B41" s="4" t="s">
        <v>73</v>
      </c>
      <c r="C41" s="4" t="s">
        <v>75</v>
      </c>
      <c r="D41" s="4" t="s">
        <v>31</v>
      </c>
      <c r="E41" s="4"/>
      <c r="F41" s="5" t="s">
        <v>18</v>
      </c>
      <c r="G41" s="5" t="s">
        <v>18</v>
      </c>
      <c r="H41" s="5" t="s">
        <v>18</v>
      </c>
      <c r="I41" s="5" t="s">
        <v>18</v>
      </c>
      <c r="J41" s="5" t="s">
        <v>18</v>
      </c>
      <c r="K41" s="6" t="n">
        <f aca="false">COUNTIF(F41:J41,"Done")/5</f>
        <v>0</v>
      </c>
      <c r="L41" s="4"/>
    </row>
    <row r="42" customFormat="false" ht="15" hidden="false" customHeight="false" outlineLevel="0" collapsed="false">
      <c r="A42" s="4" t="s">
        <v>72</v>
      </c>
      <c r="B42" s="4" t="s">
        <v>73</v>
      </c>
      <c r="C42" s="4" t="s">
        <v>76</v>
      </c>
      <c r="D42" s="4" t="s">
        <v>31</v>
      </c>
      <c r="E42" s="4"/>
      <c r="F42" s="5" t="s">
        <v>18</v>
      </c>
      <c r="G42" s="5" t="s">
        <v>18</v>
      </c>
      <c r="H42" s="5" t="s">
        <v>18</v>
      </c>
      <c r="I42" s="5" t="s">
        <v>18</v>
      </c>
      <c r="J42" s="5" t="s">
        <v>18</v>
      </c>
      <c r="K42" s="6" t="n">
        <f aca="false">COUNTIF(F42:J42,"Done")/5</f>
        <v>0</v>
      </c>
      <c r="L42" s="4"/>
    </row>
    <row r="43" customFormat="false" ht="15" hidden="false" customHeight="false" outlineLevel="0" collapsed="false">
      <c r="A43" s="4" t="s">
        <v>72</v>
      </c>
      <c r="B43" s="4" t="s">
        <v>73</v>
      </c>
      <c r="C43" s="4" t="s">
        <v>77</v>
      </c>
      <c r="D43" s="4" t="s">
        <v>31</v>
      </c>
      <c r="E43" s="4"/>
      <c r="F43" s="5" t="s">
        <v>18</v>
      </c>
      <c r="G43" s="5" t="s">
        <v>18</v>
      </c>
      <c r="H43" s="5" t="s">
        <v>18</v>
      </c>
      <c r="I43" s="5" t="s">
        <v>18</v>
      </c>
      <c r="J43" s="5" t="s">
        <v>18</v>
      </c>
      <c r="K43" s="6" t="n">
        <f aca="false">COUNTIF(F43:J43,"Done")/5</f>
        <v>0</v>
      </c>
      <c r="L43" s="4"/>
    </row>
    <row r="44" customFormat="false" ht="15" hidden="false" customHeight="false" outlineLevel="0" collapsed="false">
      <c r="A44" s="4" t="s">
        <v>72</v>
      </c>
      <c r="B44" s="4" t="s">
        <v>73</v>
      </c>
      <c r="C44" s="4" t="s">
        <v>78</v>
      </c>
      <c r="D44" s="4" t="s">
        <v>31</v>
      </c>
      <c r="E44" s="4"/>
      <c r="F44" s="5" t="s">
        <v>18</v>
      </c>
      <c r="G44" s="5" t="s">
        <v>18</v>
      </c>
      <c r="H44" s="5" t="s">
        <v>18</v>
      </c>
      <c r="I44" s="5" t="s">
        <v>18</v>
      </c>
      <c r="J44" s="5" t="s">
        <v>18</v>
      </c>
      <c r="K44" s="6" t="n">
        <f aca="false">COUNTIF(F44:J44,"Done")/5</f>
        <v>0</v>
      </c>
      <c r="L44" s="4"/>
    </row>
    <row r="45" customFormat="false" ht="15" hidden="false" customHeight="false" outlineLevel="0" collapsed="false">
      <c r="A45" s="4" t="s">
        <v>72</v>
      </c>
      <c r="B45" s="4" t="s">
        <v>73</v>
      </c>
      <c r="C45" s="4" t="s">
        <v>79</v>
      </c>
      <c r="D45" s="4" t="s">
        <v>31</v>
      </c>
      <c r="E45" s="4"/>
      <c r="F45" s="5" t="s">
        <v>18</v>
      </c>
      <c r="G45" s="5" t="s">
        <v>18</v>
      </c>
      <c r="H45" s="5" t="s">
        <v>18</v>
      </c>
      <c r="I45" s="5" t="s">
        <v>18</v>
      </c>
      <c r="J45" s="5" t="s">
        <v>18</v>
      </c>
      <c r="K45" s="6" t="n">
        <f aca="false">COUNTIF(F45:J45,"Done")/5</f>
        <v>0</v>
      </c>
      <c r="L45" s="4"/>
    </row>
    <row r="46" customFormat="false" ht="15" hidden="false" customHeight="false" outlineLevel="0" collapsed="false">
      <c r="A46" s="7"/>
      <c r="B46" s="7"/>
      <c r="C46" s="8" t="s">
        <v>80</v>
      </c>
      <c r="D46" s="7"/>
      <c r="E46" s="7"/>
      <c r="F46" s="9" t="str">
        <f aca="false">COUNTIF(F4:F45,"Done")&amp;"/"&amp;42</f>
        <v>0/42</v>
      </c>
      <c r="G46" s="9" t="str">
        <f aca="false">COUNTIF(G4:G45,"Done")&amp;"/"&amp;42</f>
        <v>0/42</v>
      </c>
      <c r="H46" s="9" t="str">
        <f aca="false">COUNTIF(H4:H45,"Done")&amp;"/"&amp;42</f>
        <v>0/42</v>
      </c>
      <c r="I46" s="9" t="str">
        <f aca="false">COUNTIF(I4:I45,"Done")&amp;"/"&amp;42</f>
        <v>0/42</v>
      </c>
      <c r="J46" s="9" t="str">
        <f aca="false">COUNTIF(J4:J45,"Done")&amp;"/"&amp;42</f>
        <v>0/42</v>
      </c>
      <c r="K46" s="10" t="n">
        <f aca="false">AVERAGE(K4:K45)</f>
        <v>0</v>
      </c>
      <c r="L46" s="7"/>
    </row>
  </sheetData>
  <autoFilter ref="A3:L45"/>
  <mergeCells count="2">
    <mergeCell ref="A1:L1"/>
    <mergeCell ref="A2:L2"/>
  </mergeCells>
  <conditionalFormatting sqref="F4:J45">
    <cfRule type="cellIs" priority="2" operator="equal" aboveAverage="0" equalAverage="0" bottom="0" percent="0" rank="0" text="" dxfId="6">
      <formula>"Done"</formula>
    </cfRule>
    <cfRule type="cellIs" priority="3" operator="equal" aboveAverage="0" equalAverage="0" bottom="0" percent="0" rank="0" text="" dxfId="7">
      <formula>"In progress"</formula>
    </cfRule>
    <cfRule type="cellIs" priority="4" operator="equal" aboveAverage="0" equalAverage="0" bottom="0" percent="0" rank="0" text="" dxfId="8">
      <formula>"In review"</formula>
    </cfRule>
    <cfRule type="cellIs" priority="5" operator="equal" aboveAverage="0" equalAverage="0" bottom="0" percent="0" rank="0" text="" dxfId="9">
      <formula>"Blocked"</formula>
    </cfRule>
    <cfRule type="cellIs" priority="6" operator="equal" aboveAverage="0" equalAverage="0" bottom="0" percent="0" rank="0" text="" dxfId="10">
      <formula>"Not started"</formula>
    </cfRule>
  </conditionalFormatting>
  <dataValidations count="1">
    <dataValidation allowBlank="true" error="Pick a status from the list" errorStyle="stop" operator="between" prompt="Select report status" showDropDown="false" showErrorMessage="false" showInputMessage="false" sqref="F4:J45" type="list">
      <formula1>"Not started,In progress,In review,Done,Blocked"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4" min="3" style="0" width="14"/>
  </cols>
  <sheetData>
    <row r="1" customFormat="false" ht="30" hidden="false" customHeight="true" outlineLevel="0" collapsed="false">
      <c r="A1" s="11" t="s">
        <v>81</v>
      </c>
      <c r="B1" s="11"/>
      <c r="C1" s="11"/>
      <c r="D1" s="11"/>
    </row>
    <row r="3" customFormat="false" ht="15" hidden="false" customHeight="false" outlineLevel="0" collapsed="false">
      <c r="A3" s="12" t="s">
        <v>82</v>
      </c>
    </row>
    <row r="4" customFormat="false" ht="15" hidden="false" customHeight="false" outlineLevel="0" collapsed="false">
      <c r="A4" s="13" t="s">
        <v>83</v>
      </c>
      <c r="B4" s="14" t="n">
        <f aca="false">COUNTA(Tracker!C4:C45)</f>
        <v>42</v>
      </c>
    </row>
    <row r="5" customFormat="false" ht="15" hidden="false" customHeight="false" outlineLevel="0" collapsed="false">
      <c r="A5" s="13" t="s">
        <v>84</v>
      </c>
      <c r="B5" s="14" t="n">
        <v>210</v>
      </c>
    </row>
    <row r="6" customFormat="false" ht="15" hidden="false" customHeight="false" outlineLevel="0" collapsed="false">
      <c r="A6" s="13" t="s">
        <v>85</v>
      </c>
      <c r="B6" s="14" t="n">
        <f aca="false">SUMPRODUCT(--(Tracker!F4:J45="Done"))</f>
        <v>0</v>
      </c>
    </row>
    <row r="7" customFormat="false" ht="15" hidden="false" customHeight="false" outlineLevel="0" collapsed="false">
      <c r="A7" s="13" t="s">
        <v>86</v>
      </c>
      <c r="B7" s="14" t="n">
        <f aca="false">SUMPRODUCT(--(Tracker!F4:J45="In progress"))</f>
        <v>0</v>
      </c>
    </row>
    <row r="8" customFormat="false" ht="15" hidden="false" customHeight="false" outlineLevel="0" collapsed="false">
      <c r="A8" s="13" t="s">
        <v>87</v>
      </c>
      <c r="B8" s="14" t="n">
        <f aca="false">SUMPRODUCT(--(Tracker!F4:J45="In review"))</f>
        <v>0</v>
      </c>
    </row>
    <row r="9" customFormat="false" ht="15" hidden="false" customHeight="false" outlineLevel="0" collapsed="false">
      <c r="A9" s="13" t="s">
        <v>88</v>
      </c>
      <c r="B9" s="14" t="n">
        <f aca="false">SUMPRODUCT(--(Tracker!F4:J45="Blocked"))</f>
        <v>0</v>
      </c>
    </row>
    <row r="10" customFormat="false" ht="15" hidden="false" customHeight="false" outlineLevel="0" collapsed="false">
      <c r="A10" s="13" t="s">
        <v>89</v>
      </c>
      <c r="B10" s="14" t="n">
        <f aca="false">SUMPRODUCT(--(Tracker!F4:J45="Not started"))</f>
        <v>210</v>
      </c>
    </row>
    <row r="11" customFormat="false" ht="15" hidden="false" customHeight="false" outlineLevel="0" collapsed="false">
      <c r="A11" s="13" t="s">
        <v>90</v>
      </c>
      <c r="B11" s="15" t="n">
        <f aca="false">Tracker!K46</f>
        <v>0</v>
      </c>
    </row>
    <row r="13" customFormat="false" ht="15" hidden="false" customHeight="false" outlineLevel="0" collapsed="false">
      <c r="A13" s="12" t="s">
        <v>91</v>
      </c>
    </row>
    <row r="14" customFormat="false" ht="15" hidden="false" customHeight="false" outlineLevel="0" collapsed="false">
      <c r="A14" s="16" t="s">
        <v>2</v>
      </c>
      <c r="B14" s="16" t="s">
        <v>3</v>
      </c>
      <c r="C14" s="16" t="s">
        <v>85</v>
      </c>
      <c r="D14" s="16" t="s">
        <v>92</v>
      </c>
    </row>
    <row r="15" customFormat="false" ht="15" hidden="false" customHeight="false" outlineLevel="0" collapsed="false">
      <c r="A15" s="13" t="s">
        <v>14</v>
      </c>
      <c r="B15" s="13" t="s">
        <v>15</v>
      </c>
      <c r="C15" s="13" t="n">
        <f aca="false">SUMPRODUCT((Tracker!$A$4:$A$45="B1")*(Tracker!F4:J45="Done"))</f>
        <v>0</v>
      </c>
      <c r="D15" s="17" t="n">
        <f aca="false">C15/20</f>
        <v>0</v>
      </c>
    </row>
    <row r="16" customFormat="false" ht="15" hidden="false" customHeight="false" outlineLevel="0" collapsed="false">
      <c r="A16" s="13" t="s">
        <v>22</v>
      </c>
      <c r="B16" s="13" t="s">
        <v>23</v>
      </c>
      <c r="C16" s="13" t="n">
        <f aca="false">SUMPRODUCT((Tracker!$A$4:$A$45="B2")*(Tracker!F4:J45="Done"))</f>
        <v>0</v>
      </c>
      <c r="D16" s="17" t="n">
        <f aca="false">C16/15</f>
        <v>0</v>
      </c>
    </row>
    <row r="17" customFormat="false" ht="15" hidden="false" customHeight="false" outlineLevel="0" collapsed="false">
      <c r="A17" s="13" t="s">
        <v>28</v>
      </c>
      <c r="B17" s="13" t="s">
        <v>29</v>
      </c>
      <c r="C17" s="13" t="n">
        <f aca="false">SUMPRODUCT((Tracker!$A$4:$A$45="B3")*(Tracker!F4:J45="Done"))</f>
        <v>0</v>
      </c>
      <c r="D17" s="17" t="n">
        <f aca="false">C17/20</f>
        <v>0</v>
      </c>
    </row>
    <row r="18" customFormat="false" ht="15" hidden="false" customHeight="false" outlineLevel="0" collapsed="false">
      <c r="A18" s="13" t="s">
        <v>35</v>
      </c>
      <c r="B18" s="13" t="s">
        <v>36</v>
      </c>
      <c r="C18" s="13" t="n">
        <f aca="false">SUMPRODUCT((Tracker!$A$4:$A$45="B4")*(Tracker!F4:J45="Done"))</f>
        <v>0</v>
      </c>
      <c r="D18" s="17" t="n">
        <f aca="false">C18/20</f>
        <v>0</v>
      </c>
    </row>
    <row r="19" customFormat="false" ht="15" hidden="false" customHeight="false" outlineLevel="0" collapsed="false">
      <c r="A19" s="13" t="s">
        <v>42</v>
      </c>
      <c r="B19" s="13" t="s">
        <v>43</v>
      </c>
      <c r="C19" s="13" t="n">
        <f aca="false">SUMPRODUCT((Tracker!$A$4:$A$45="B5")*(Tracker!F4:J45="Done"))</f>
        <v>0</v>
      </c>
      <c r="D19" s="17" t="n">
        <f aca="false">C19/35</f>
        <v>0</v>
      </c>
    </row>
    <row r="20" customFormat="false" ht="15" hidden="false" customHeight="false" outlineLevel="0" collapsed="false">
      <c r="A20" s="13" t="s">
        <v>51</v>
      </c>
      <c r="B20" s="13" t="s">
        <v>52</v>
      </c>
      <c r="C20" s="13" t="n">
        <f aca="false">SUMPRODUCT((Tracker!$A$4:$A$45="B6")*(Tracker!F4:J45="Done"))</f>
        <v>0</v>
      </c>
      <c r="D20" s="17" t="n">
        <f aca="false">C20/15</f>
        <v>0</v>
      </c>
    </row>
    <row r="21" customFormat="false" ht="15" hidden="false" customHeight="false" outlineLevel="0" collapsed="false">
      <c r="A21" s="13" t="s">
        <v>57</v>
      </c>
      <c r="B21" s="13" t="s">
        <v>58</v>
      </c>
      <c r="C21" s="13" t="n">
        <f aca="false">SUMPRODUCT((Tracker!$A$4:$A$45="B7")*(Tracker!F4:J45="Done"))</f>
        <v>0</v>
      </c>
      <c r="D21" s="17" t="n">
        <f aca="false">C21/20</f>
        <v>0</v>
      </c>
    </row>
    <row r="22" customFormat="false" ht="15" hidden="false" customHeight="false" outlineLevel="0" collapsed="false">
      <c r="A22" s="13" t="s">
        <v>63</v>
      </c>
      <c r="B22" s="13" t="s">
        <v>64</v>
      </c>
      <c r="C22" s="13" t="n">
        <f aca="false">SUMPRODUCT((Tracker!$A$4:$A$45="B8")*(Tracker!F4:J45="Done"))</f>
        <v>0</v>
      </c>
      <c r="D22" s="17" t="n">
        <f aca="false">C22/35</f>
        <v>0</v>
      </c>
    </row>
    <row r="23" customFormat="false" ht="15" hidden="false" customHeight="false" outlineLevel="0" collapsed="false">
      <c r="A23" s="13" t="s">
        <v>72</v>
      </c>
      <c r="B23" s="13" t="s">
        <v>73</v>
      </c>
      <c r="C23" s="13" t="n">
        <f aca="false">SUMPRODUCT((Tracker!$A$4:$A$45="B9")*(Tracker!F4:J45="Done"))</f>
        <v>0</v>
      </c>
      <c r="D23" s="17" t="n">
        <f aca="false">C23/30</f>
        <v>0</v>
      </c>
    </row>
    <row r="25" customFormat="false" ht="15" hidden="false" customHeight="false" outlineLevel="0" collapsed="false">
      <c r="A25" s="18" t="s">
        <v>93</v>
      </c>
    </row>
  </sheetData>
  <mergeCells count="1">
    <mergeCell ref="A1:D1"/>
  </mergeCells>
  <conditionalFormatting sqref="D15">
    <cfRule type="cellIs" priority="2" operator="equal" aboveAverage="0" equalAverage="0" bottom="0" percent="0" rank="0" text="" dxfId="11">
      <formula>1</formula>
    </cfRule>
  </conditionalFormatting>
  <conditionalFormatting sqref="D16">
    <cfRule type="cellIs" priority="3" operator="equal" aboveAverage="0" equalAverage="0" bottom="0" percent="0" rank="0" text="" dxfId="11">
      <formula>1</formula>
    </cfRule>
  </conditionalFormatting>
  <conditionalFormatting sqref="D17">
    <cfRule type="cellIs" priority="4" operator="equal" aboveAverage="0" equalAverage="0" bottom="0" percent="0" rank="0" text="" dxfId="11">
      <formula>1</formula>
    </cfRule>
  </conditionalFormatting>
  <conditionalFormatting sqref="D18">
    <cfRule type="cellIs" priority="5" operator="equal" aboveAverage="0" equalAverage="0" bottom="0" percent="0" rank="0" text="" dxfId="11">
      <formula>1</formula>
    </cfRule>
  </conditionalFormatting>
  <conditionalFormatting sqref="D19">
    <cfRule type="cellIs" priority="6" operator="equal" aboveAverage="0" equalAverage="0" bottom="0" percent="0" rank="0" text="" dxfId="11">
      <formula>1</formula>
    </cfRule>
  </conditionalFormatting>
  <conditionalFormatting sqref="D20">
    <cfRule type="cellIs" priority="7" operator="equal" aboveAverage="0" equalAverage="0" bottom="0" percent="0" rank="0" text="" dxfId="11">
      <formula>1</formula>
    </cfRule>
  </conditionalFormatting>
  <conditionalFormatting sqref="D21">
    <cfRule type="cellIs" priority="8" operator="equal" aboveAverage="0" equalAverage="0" bottom="0" percent="0" rank="0" text="" dxfId="11">
      <formula>1</formula>
    </cfRule>
  </conditionalFormatting>
  <conditionalFormatting sqref="D22">
    <cfRule type="cellIs" priority="9" operator="equal" aboveAverage="0" equalAverage="0" bottom="0" percent="0" rank="0" text="" dxfId="11">
      <formula>1</formula>
    </cfRule>
  </conditionalFormatting>
  <conditionalFormatting sqref="D23">
    <cfRule type="cellIs" priority="10" operator="equal" aboveAverage="0" equalAverage="0" bottom="0" percent="0" rank="0" text="" dxfId="1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2026-07-05T14:06:10Z</dcterms:created>
  <dc:creator>openpyxl</dc:creator>
  <dc:description/>
  <dc:language>en-US</dc:language>
  <cp:lastModifiedBy/>
  <dcterms:modified xsi:type="dcterms:W3CDTF">2026-07-05T14:06:10Z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